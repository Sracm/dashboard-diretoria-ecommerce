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mqhair.sharepoint.com/sites/vls/docs/TI/PROJETOS BI/DIRETORIA ECOMMERCE/"/>
    </mc:Choice>
  </mc:AlternateContent>
  <xr:revisionPtr revIDLastSave="138" documentId="8_{BC10BE1F-B493-4228-AC6D-D99B44E15A3E}" xr6:coauthVersionLast="47" xr6:coauthVersionMax="47" xr10:uidLastSave="{A9384ADC-31C0-4A5C-8559-865CCDBD38E5}"/>
  <bookViews>
    <workbookView xWindow="28680" yWindow="-120" windowWidth="29040" windowHeight="15720" xr2:uid="{D60397AA-79C1-43C7-9CEE-6EA2EC3DFC68}"/>
  </bookViews>
  <sheets>
    <sheet name="METAS ECOMMERCE_2026" sheetId="1" r:id="rId1"/>
  </sheets>
  <definedNames>
    <definedName name="_xlnm._FilterDatabase" localSheetId="0" hidden="1">'METAS ECOMMERCE_2026'!$A$1:$L$62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</calcChain>
</file>

<file path=xl/sharedStrings.xml><?xml version="1.0" encoding="utf-8"?>
<sst xmlns="http://schemas.openxmlformats.org/spreadsheetml/2006/main" count="126" uniqueCount="23">
  <si>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</si>
  <si>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</si>
  <si>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</si>
  <si>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</si>
  <si>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</si>
  <si>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</si>
  <si>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</si>
  <si>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</si>
  <si>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</si>
  <si>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</si>
  <si>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</si>
  <si>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</si>
  <si>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VTEX</t>
  </si>
  <si>
    <t>DATA</t>
  </si>
  <si>
    <t>MÊS</t>
  </si>
  <si>
    <t>VENDEDOR</t>
  </si>
  <si>
    <t>MERCADO LIVRE</t>
  </si>
  <si>
    <t>VLR META</t>
  </si>
  <si>
    <t>SHOPEE</t>
  </si>
  <si>
    <t>MAGALU</t>
  </si>
  <si>
    <t>PARLUX</t>
  </si>
  <si>
    <t>DIAS MÊS</t>
  </si>
  <si>
    <t>VLR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</si>
</sst>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8" fontId="0" fillId="0" borderId="0" xfId="0" applyNumberFormat="1"/>
    <xf numFmtId="43" fontId="0" fillId="0" borderId="0" xfId="1" applyFont="1"/>
    <xf numFmtId="43" fontId="0" fillId="0" borderId="0" xfId="0" applyNumberFormat="1"/>
    <xf numFmtId="0" fontId="3" fillId="0" borderId="0" xfId="0" applyFont="1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2D88-5A33-488E-8EDB-18C54C737A0F}">
  <sheetPr codeName="Planilha1" filterMode="1"/>
  <dimension ref="A1:L102"/>
  <sheetViews>
    <sheetView tabSelected="1" zoomScale="220" zoomScaleNormal="220" workbookViewId="0">
      <selection activeCell="D64" sqref="D64"/>
    </sheetView>
  </sheetViews>
  <sheetFormatPr defaultRowHeight="15" x14ac:dyDescent="0.25"/>
  <cols>
    <col min="2" max="2" width="11" bestFit="1" customWidth="1"/>
    <col min="3" max="3" width="17.28515625" customWidth="1"/>
    <col min="4" max="4" width="15" customWidth="1"/>
    <col min="5" max="5" width="14.85546875" style="6" customWidth="1"/>
    <col min="6" max="6" width="12.140625" bestFit="1" customWidth="1"/>
    <col min="7" max="9" width="13.28515625" bestFit="1" customWidth="1"/>
    <col min="10" max="10" width="10.5703125" bestFit="1" customWidth="1"/>
    <col min="12" max="12" width="11.5703125" bestFit="1" customWidth="1"/>
  </cols>
  <sheetData>
    <row r="1" spans="1:12" s="1" customFormat="1" x14ac:dyDescent="0.25">
      <c r="A1" s="2" t="s">
        <v>14</v>
      </c>
      <c r="B1" s="2" t="s">
        <v>13</v>
      </c>
      <c r="C1" s="2" t="s">
        <v>15</v>
      </c>
      <c r="D1" s="2" t="s">
        <v>17</v>
      </c>
      <c r="E1" s="7" t="s">
        <v>21</v>
      </c>
      <c r="F1" s="1" t="s">
        <v>22</v>
      </c>
      <c r="H1" s="10"/>
      <c r="I1"/>
      <c r="J1" s="10"/>
      <c r="K1" s="11"/>
      <c r="L1" s="10"/>
    </row>
    <row r="2" spans="1:12" hidden="1" x14ac:dyDescent="0.25">
      <c r="A2" s="3" t="s">
        <v>0</v>
      </c>
      <c r="B2" s="4">
        <v>46023</v>
      </c>
      <c r="C2" s="3" t="s">
        <v>16</v>
      </c>
      <c r="D2" s="5">
        <v>828302.9</v>
      </c>
      <c r="E2" s="8">
        <v>31</v>
      </c>
      <c r="F2" s="9">
        <f>D2/E2</f>
        <v>26719.448387096774</v>
      </c>
      <c r="H2" s="10"/>
      <c r="J2" s="10"/>
      <c r="K2" s="11"/>
      <c r="L2" s="10"/>
    </row>
    <row r="3" spans="1:12" hidden="1" x14ac:dyDescent="0.25">
      <c r="A3" s="3" t="s">
        <v>1</v>
      </c>
      <c r="B3" s="4">
        <v>46054</v>
      </c>
      <c r="C3" s="3" t="s">
        <v>16</v>
      </c>
      <c r="D3" s="5">
        <v>795000</v>
      </c>
      <c r="E3" s="8">
        <v>28</v>
      </c>
      <c r="F3" s="9">
        <f t="shared" ref="F3:F61" si="0">D3/E3</f>
        <v>28392.857142857141</v>
      </c>
    </row>
    <row r="4" spans="1:12" hidden="1" x14ac:dyDescent="0.25">
      <c r="A4" s="3" t="s">
        <v>2</v>
      </c>
      <c r="B4" s="4">
        <v>46082</v>
      </c>
      <c r="C4" s="3" t="s">
        <v>16</v>
      </c>
      <c r="D4" s="5">
        <v>1006349.5</v>
      </c>
      <c r="E4" s="8">
        <v>31</v>
      </c>
      <c r="F4" s="9">
        <f t="shared" si="0"/>
        <v>32462.887096774193</v>
      </c>
    </row>
    <row r="5" spans="1:12" hidden="1" x14ac:dyDescent="0.25">
      <c r="A5" s="3" t="s">
        <v>3</v>
      </c>
      <c r="B5" s="4">
        <v>46113</v>
      </c>
      <c r="C5" s="3" t="s">
        <v>16</v>
      </c>
      <c r="D5" s="5">
        <v>1060801.49</v>
      </c>
      <c r="E5" s="8">
        <v>30</v>
      </c>
      <c r="F5" s="9">
        <f t="shared" si="0"/>
        <v>35360.049666666666</v>
      </c>
    </row>
    <row r="6" spans="1:12" hidden="1" x14ac:dyDescent="0.25">
      <c r="A6" s="3" t="s">
        <v>4</v>
      </c>
      <c r="B6" s="4">
        <v>46143</v>
      </c>
      <c r="C6" s="3" t="s">
        <v>16</v>
      </c>
      <c r="D6" s="5">
        <v>1320000</v>
      </c>
      <c r="E6" s="8">
        <v>31</v>
      </c>
      <c r="F6" s="9">
        <f t="shared" si="0"/>
        <v>42580.645161290326</v>
      </c>
    </row>
    <row r="7" spans="1:12" hidden="1" x14ac:dyDescent="0.25">
      <c r="A7" s="3" t="s">
        <v>5</v>
      </c>
      <c r="B7" s="4">
        <v>46174</v>
      </c>
      <c r="C7" s="3" t="s">
        <v>16</v>
      </c>
      <c r="D7" s="5">
        <v>1320000</v>
      </c>
      <c r="E7" s="8">
        <v>30</v>
      </c>
      <c r="F7" s="9">
        <f t="shared" si="0"/>
        <v>44000</v>
      </c>
    </row>
    <row r="8" spans="1:12" hidden="1" x14ac:dyDescent="0.25">
      <c r="A8" s="3" t="s">
        <v>6</v>
      </c>
      <c r="B8" s="4">
        <v>46204</v>
      </c>
      <c r="C8" s="3" t="s">
        <v>16</v>
      </c>
      <c r="D8" s="5">
        <v>1260000</v>
      </c>
      <c r="E8" s="8">
        <v>31</v>
      </c>
      <c r="F8" s="9">
        <f t="shared" si="0"/>
        <v>40645.161290322583</v>
      </c>
    </row>
    <row r="9" spans="1:12" hidden="1" x14ac:dyDescent="0.25">
      <c r="A9" s="3" t="s">
        <v>7</v>
      </c>
      <c r="B9" s="4">
        <v>46235</v>
      </c>
      <c r="C9" s="3" t="s">
        <v>16</v>
      </c>
      <c r="D9" s="5">
        <v>1350000</v>
      </c>
      <c r="E9" s="8">
        <v>31</v>
      </c>
      <c r="F9" s="9">
        <f t="shared" si="0"/>
        <v>43548.387096774197</v>
      </c>
    </row>
    <row r="10" spans="1:12" hidden="1" x14ac:dyDescent="0.25">
      <c r="A10" s="3" t="s">
        <v>8</v>
      </c>
      <c r="B10" s="4">
        <v>46266</v>
      </c>
      <c r="C10" s="3" t="s">
        <v>16</v>
      </c>
      <c r="D10" s="5">
        <v>1335000</v>
      </c>
      <c r="E10" s="8">
        <v>30</v>
      </c>
      <c r="F10" s="9">
        <f t="shared" si="0"/>
        <v>44500</v>
      </c>
    </row>
    <row r="11" spans="1:12" x14ac:dyDescent="0.25">
      <c r="A11" s="3" t="s">
        <v>9</v>
      </c>
      <c r="B11" s="4">
        <v>46296</v>
      </c>
      <c r="C11" s="3" t="s">
        <v>16</v>
      </c>
      <c r="D11" s="5">
        <v>1403471.7</v>
      </c>
      <c r="E11" s="8">
        <v>31</v>
      </c>
      <c r="F11" s="9">
        <f t="shared" si="0"/>
        <v>45273.280645161292</v>
      </c>
    </row>
    <row r="12" spans="1:12" hidden="1" x14ac:dyDescent="0.25">
      <c r="A12" s="3" t="s">
        <v>10</v>
      </c>
      <c r="B12" s="4">
        <v>46327</v>
      </c>
      <c r="C12" s="3" t="s">
        <v>16</v>
      </c>
      <c r="D12" s="5">
        <v>2003005.18</v>
      </c>
      <c r="E12" s="8">
        <v>30</v>
      </c>
      <c r="F12" s="9">
        <f t="shared" si="0"/>
        <v>66766.839333333337</v>
      </c>
    </row>
    <row r="13" spans="1:12" hidden="1" x14ac:dyDescent="0.25">
      <c r="A13" s="3" t="s">
        <v>11</v>
      </c>
      <c r="B13" s="4">
        <v>46357</v>
      </c>
      <c r="C13" s="3" t="s">
        <v>16</v>
      </c>
      <c r="D13" s="5">
        <v>1523005.19</v>
      </c>
      <c r="E13" s="8">
        <v>31</v>
      </c>
      <c r="F13" s="9">
        <f t="shared" si="0"/>
        <v>49129.199677419354</v>
      </c>
    </row>
    <row r="14" spans="1:12" hidden="1" x14ac:dyDescent="0.25">
      <c r="A14" s="3" t="s">
        <v>0</v>
      </c>
      <c r="B14" s="4">
        <v>46023</v>
      </c>
      <c r="C14" s="3" t="s">
        <v>12</v>
      </c>
      <c r="D14" s="5">
        <v>345126.21</v>
      </c>
      <c r="E14" s="8">
        <v>31</v>
      </c>
      <c r="F14" s="9">
        <f t="shared" si="0"/>
        <v>11133.103548387098</v>
      </c>
    </row>
    <row r="15" spans="1:12" hidden="1" x14ac:dyDescent="0.25">
      <c r="A15" s="3" t="s">
        <v>1</v>
      </c>
      <c r="B15" s="4">
        <v>46054</v>
      </c>
      <c r="C15" s="3" t="s">
        <v>12</v>
      </c>
      <c r="D15" s="5">
        <v>331250</v>
      </c>
      <c r="E15" s="8">
        <v>28</v>
      </c>
      <c r="F15" s="9">
        <f t="shared" si="0"/>
        <v>11830.357142857143</v>
      </c>
    </row>
    <row r="16" spans="1:12" hidden="1" x14ac:dyDescent="0.25">
      <c r="A16" s="3" t="s">
        <v>2</v>
      </c>
      <c r="B16" s="4">
        <v>46082</v>
      </c>
      <c r="C16" s="3" t="s">
        <v>12</v>
      </c>
      <c r="D16" s="5">
        <v>419312.29</v>
      </c>
      <c r="E16" s="8">
        <v>31</v>
      </c>
      <c r="F16" s="9">
        <f t="shared" si="0"/>
        <v>13526.202903225805</v>
      </c>
    </row>
    <row r="17" spans="1:6" hidden="1" x14ac:dyDescent="0.25">
      <c r="A17" s="3" t="s">
        <v>3</v>
      </c>
      <c r="B17" s="4">
        <v>46113</v>
      </c>
      <c r="C17" s="3" t="s">
        <v>12</v>
      </c>
      <c r="D17" s="5">
        <v>442000.62</v>
      </c>
      <c r="E17" s="8">
        <v>30</v>
      </c>
      <c r="F17" s="9">
        <f t="shared" si="0"/>
        <v>14733.353999999999</v>
      </c>
    </row>
    <row r="18" spans="1:6" hidden="1" x14ac:dyDescent="0.25">
      <c r="A18" s="3" t="s">
        <v>4</v>
      </c>
      <c r="B18" s="4">
        <v>46143</v>
      </c>
      <c r="C18" s="3" t="s">
        <v>12</v>
      </c>
      <c r="D18" s="5">
        <v>550000</v>
      </c>
      <c r="E18" s="8">
        <v>31</v>
      </c>
      <c r="F18" s="9">
        <f t="shared" si="0"/>
        <v>17741.935483870966</v>
      </c>
    </row>
    <row r="19" spans="1:6" hidden="1" x14ac:dyDescent="0.25">
      <c r="A19" s="3" t="s">
        <v>5</v>
      </c>
      <c r="B19" s="4">
        <v>46174</v>
      </c>
      <c r="C19" s="3" t="s">
        <v>12</v>
      </c>
      <c r="D19" s="5">
        <v>550000</v>
      </c>
      <c r="E19" s="8">
        <v>30</v>
      </c>
      <c r="F19" s="9">
        <f t="shared" si="0"/>
        <v>18333.333333333332</v>
      </c>
    </row>
    <row r="20" spans="1:6" hidden="1" x14ac:dyDescent="0.25">
      <c r="A20" s="3" t="s">
        <v>6</v>
      </c>
      <c r="B20" s="4">
        <v>46204</v>
      </c>
      <c r="C20" s="3" t="s">
        <v>12</v>
      </c>
      <c r="D20" s="5">
        <v>525000</v>
      </c>
      <c r="E20" s="8">
        <v>31</v>
      </c>
      <c r="F20" s="9">
        <f t="shared" si="0"/>
        <v>16935.483870967742</v>
      </c>
    </row>
    <row r="21" spans="1:6" hidden="1" x14ac:dyDescent="0.25">
      <c r="A21" s="3" t="s">
        <v>7</v>
      </c>
      <c r="B21" s="4">
        <v>46235</v>
      </c>
      <c r="C21" s="3" t="s">
        <v>12</v>
      </c>
      <c r="D21" s="5">
        <v>562500</v>
      </c>
      <c r="E21" s="8">
        <v>31</v>
      </c>
      <c r="F21" s="9">
        <f t="shared" si="0"/>
        <v>18145.16129032258</v>
      </c>
    </row>
    <row r="22" spans="1:6" hidden="1" x14ac:dyDescent="0.25">
      <c r="A22" s="3" t="s">
        <v>8</v>
      </c>
      <c r="B22" s="4">
        <v>46266</v>
      </c>
      <c r="C22" s="3" t="s">
        <v>12</v>
      </c>
      <c r="D22" s="5">
        <v>556250</v>
      </c>
      <c r="E22" s="8">
        <v>30</v>
      </c>
      <c r="F22" s="9">
        <f t="shared" si="0"/>
        <v>18541.666666666668</v>
      </c>
    </row>
    <row r="23" spans="1:6" x14ac:dyDescent="0.25">
      <c r="A23" s="3" t="s">
        <v>9</v>
      </c>
      <c r="B23" s="4">
        <v>46296</v>
      </c>
      <c r="C23" s="3" t="s">
        <v>12</v>
      </c>
      <c r="D23" s="5">
        <v>517678.83</v>
      </c>
      <c r="E23" s="8">
        <v>31</v>
      </c>
      <c r="F23" s="9">
        <f t="shared" si="0"/>
        <v>16699.317096774193</v>
      </c>
    </row>
    <row r="24" spans="1:6" hidden="1" x14ac:dyDescent="0.25">
      <c r="A24" s="3" t="s">
        <v>10</v>
      </c>
      <c r="B24" s="4">
        <v>46327</v>
      </c>
      <c r="C24" s="3" t="s">
        <v>12</v>
      </c>
      <c r="D24" s="5">
        <v>747500</v>
      </c>
      <c r="E24" s="8">
        <v>30</v>
      </c>
      <c r="F24" s="9">
        <f t="shared" si="0"/>
        <v>24916.666666666668</v>
      </c>
    </row>
    <row r="25" spans="1:6" hidden="1" x14ac:dyDescent="0.25">
      <c r="A25" s="3" t="s">
        <v>11</v>
      </c>
      <c r="B25" s="4">
        <v>46357</v>
      </c>
      <c r="C25" s="3" t="s">
        <v>12</v>
      </c>
      <c r="D25" s="5">
        <v>563500</v>
      </c>
      <c r="E25" s="8">
        <v>31</v>
      </c>
      <c r="F25" s="9">
        <f t="shared" si="0"/>
        <v>18177.419354838708</v>
      </c>
    </row>
    <row r="26" spans="1:6" hidden="1" x14ac:dyDescent="0.25">
      <c r="A26" s="3" t="s">
        <v>0</v>
      </c>
      <c r="B26" s="4">
        <v>46023</v>
      </c>
      <c r="C26" s="3" t="s">
        <v>18</v>
      </c>
      <c r="D26" s="5">
        <v>151855.53</v>
      </c>
      <c r="E26" s="8">
        <v>31</v>
      </c>
      <c r="F26" s="9">
        <f t="shared" si="0"/>
        <v>4898.5654838709679</v>
      </c>
    </row>
    <row r="27" spans="1:6" hidden="1" x14ac:dyDescent="0.25">
      <c r="A27" s="3" t="s">
        <v>1</v>
      </c>
      <c r="B27" s="4">
        <v>46054</v>
      </c>
      <c r="C27" s="3" t="s">
        <v>18</v>
      </c>
      <c r="D27" s="5">
        <v>145750</v>
      </c>
      <c r="E27" s="8">
        <v>28</v>
      </c>
      <c r="F27" s="9">
        <f t="shared" si="0"/>
        <v>5205.3571428571431</v>
      </c>
    </row>
    <row r="28" spans="1:6" hidden="1" x14ac:dyDescent="0.25">
      <c r="A28" s="3" t="s">
        <v>2</v>
      </c>
      <c r="B28" s="4">
        <v>46082</v>
      </c>
      <c r="C28" s="3" t="s">
        <v>18</v>
      </c>
      <c r="D28" s="5">
        <v>184497.41</v>
      </c>
      <c r="E28" s="8">
        <v>31</v>
      </c>
      <c r="F28" s="9">
        <f t="shared" si="0"/>
        <v>5951.5293548387099</v>
      </c>
    </row>
    <row r="29" spans="1:6" hidden="1" x14ac:dyDescent="0.25">
      <c r="A29" s="3" t="s">
        <v>3</v>
      </c>
      <c r="B29" s="4">
        <v>46113</v>
      </c>
      <c r="C29" s="3" t="s">
        <v>18</v>
      </c>
      <c r="D29" s="5">
        <v>194480.27</v>
      </c>
      <c r="E29" s="8">
        <v>30</v>
      </c>
      <c r="F29" s="9">
        <f t="shared" si="0"/>
        <v>6482.6756666666661</v>
      </c>
    </row>
    <row r="30" spans="1:6" hidden="1" x14ac:dyDescent="0.25">
      <c r="A30" s="3" t="s">
        <v>4</v>
      </c>
      <c r="B30" s="4">
        <v>46143</v>
      </c>
      <c r="C30" s="3" t="s">
        <v>18</v>
      </c>
      <c r="D30" s="5">
        <v>242000</v>
      </c>
      <c r="E30" s="8">
        <v>31</v>
      </c>
      <c r="F30" s="9">
        <f t="shared" si="0"/>
        <v>7806.4516129032254</v>
      </c>
    </row>
    <row r="31" spans="1:6" hidden="1" x14ac:dyDescent="0.25">
      <c r="A31" s="3" t="s">
        <v>5</v>
      </c>
      <c r="B31" s="4">
        <v>46174</v>
      </c>
      <c r="C31" s="3" t="s">
        <v>18</v>
      </c>
      <c r="D31" s="5">
        <v>242000</v>
      </c>
      <c r="E31" s="8">
        <v>30</v>
      </c>
      <c r="F31" s="9">
        <f t="shared" si="0"/>
        <v>8066.666666666667</v>
      </c>
    </row>
    <row r="32" spans="1:6" hidden="1" x14ac:dyDescent="0.25">
      <c r="A32" s="3" t="s">
        <v>6</v>
      </c>
      <c r="B32" s="4">
        <v>46204</v>
      </c>
      <c r="C32" s="3" t="s">
        <v>18</v>
      </c>
      <c r="D32" s="5">
        <v>231000</v>
      </c>
      <c r="E32" s="8">
        <v>31</v>
      </c>
      <c r="F32" s="9">
        <f t="shared" si="0"/>
        <v>7451.6129032258068</v>
      </c>
    </row>
    <row r="33" spans="1:6" hidden="1" x14ac:dyDescent="0.25">
      <c r="A33" s="3" t="s">
        <v>7</v>
      </c>
      <c r="B33" s="4">
        <v>46235</v>
      </c>
      <c r="C33" s="3" t="s">
        <v>18</v>
      </c>
      <c r="D33" s="5">
        <v>247500</v>
      </c>
      <c r="E33" s="8">
        <v>31</v>
      </c>
      <c r="F33" s="9">
        <f t="shared" si="0"/>
        <v>7983.8709677419356</v>
      </c>
    </row>
    <row r="34" spans="1:6" hidden="1" x14ac:dyDescent="0.25">
      <c r="A34" s="3" t="s">
        <v>8</v>
      </c>
      <c r="B34" s="4">
        <v>46266</v>
      </c>
      <c r="C34" s="3" t="s">
        <v>18</v>
      </c>
      <c r="D34" s="5">
        <v>244750</v>
      </c>
      <c r="E34" s="8">
        <v>30</v>
      </c>
      <c r="F34" s="9">
        <f t="shared" si="0"/>
        <v>8158.333333333333</v>
      </c>
    </row>
    <row r="35" spans="1:6" x14ac:dyDescent="0.25">
      <c r="A35" s="3" t="s">
        <v>9</v>
      </c>
      <c r="B35" s="4">
        <v>46296</v>
      </c>
      <c r="C35" s="3" t="s">
        <v>18</v>
      </c>
      <c r="D35" s="5">
        <v>247585.53</v>
      </c>
      <c r="E35" s="8">
        <v>31</v>
      </c>
      <c r="F35" s="9">
        <f t="shared" si="0"/>
        <v>7986.63</v>
      </c>
    </row>
    <row r="36" spans="1:6" hidden="1" x14ac:dyDescent="0.25">
      <c r="A36" s="3" t="s">
        <v>10</v>
      </c>
      <c r="B36" s="4">
        <v>46327</v>
      </c>
      <c r="C36" s="3" t="s">
        <v>18</v>
      </c>
      <c r="D36" s="5">
        <v>357500</v>
      </c>
      <c r="E36" s="8">
        <v>30</v>
      </c>
      <c r="F36" s="9">
        <f t="shared" si="0"/>
        <v>11916.666666666666</v>
      </c>
    </row>
    <row r="37" spans="1:6" hidden="1" x14ac:dyDescent="0.25">
      <c r="A37" s="3" t="s">
        <v>11</v>
      </c>
      <c r="B37" s="4">
        <v>46357</v>
      </c>
      <c r="C37" s="3" t="s">
        <v>18</v>
      </c>
      <c r="D37" s="5">
        <v>269500</v>
      </c>
      <c r="E37" s="8">
        <v>31</v>
      </c>
      <c r="F37" s="9">
        <f t="shared" si="0"/>
        <v>8693.5483870967746</v>
      </c>
    </row>
    <row r="38" spans="1:6" hidden="1" x14ac:dyDescent="0.25">
      <c r="A38" s="3" t="s">
        <v>0</v>
      </c>
      <c r="B38" s="4">
        <v>46023</v>
      </c>
      <c r="C38" s="3" t="s">
        <v>19</v>
      </c>
      <c r="D38" s="5">
        <v>55220.19</v>
      </c>
      <c r="E38" s="8">
        <v>31</v>
      </c>
      <c r="F38" s="9">
        <f t="shared" si="0"/>
        <v>1781.2964516129034</v>
      </c>
    </row>
    <row r="39" spans="1:6" hidden="1" x14ac:dyDescent="0.25">
      <c r="A39" s="3" t="s">
        <v>1</v>
      </c>
      <c r="B39" s="4">
        <v>46054</v>
      </c>
      <c r="C39" s="3" t="s">
        <v>19</v>
      </c>
      <c r="D39" s="5">
        <v>53000</v>
      </c>
      <c r="E39" s="8">
        <v>28</v>
      </c>
      <c r="F39" s="9">
        <f t="shared" si="0"/>
        <v>1892.8571428571429</v>
      </c>
    </row>
    <row r="40" spans="1:6" hidden="1" x14ac:dyDescent="0.25">
      <c r="A40" s="3" t="s">
        <v>2</v>
      </c>
      <c r="B40" s="4">
        <v>46082</v>
      </c>
      <c r="C40" s="3" t="s">
        <v>19</v>
      </c>
      <c r="D40" s="5">
        <v>67089.97</v>
      </c>
      <c r="E40" s="8">
        <v>31</v>
      </c>
      <c r="F40" s="9">
        <f t="shared" si="0"/>
        <v>2164.1925806451613</v>
      </c>
    </row>
    <row r="41" spans="1:6" hidden="1" x14ac:dyDescent="0.25">
      <c r="A41" s="3" t="s">
        <v>3</v>
      </c>
      <c r="B41" s="4">
        <v>46113</v>
      </c>
      <c r="C41" s="3" t="s">
        <v>19</v>
      </c>
      <c r="D41" s="5">
        <v>70720.100000000006</v>
      </c>
      <c r="E41" s="8">
        <v>30</v>
      </c>
      <c r="F41" s="9">
        <f t="shared" si="0"/>
        <v>2357.336666666667</v>
      </c>
    </row>
    <row r="42" spans="1:6" hidden="1" x14ac:dyDescent="0.25">
      <c r="A42" s="3" t="s">
        <v>4</v>
      </c>
      <c r="B42" s="4">
        <v>46143</v>
      </c>
      <c r="C42" s="3" t="s">
        <v>19</v>
      </c>
      <c r="D42" s="5">
        <v>88000</v>
      </c>
      <c r="E42" s="8">
        <v>31</v>
      </c>
      <c r="F42" s="9">
        <f t="shared" si="0"/>
        <v>2838.7096774193546</v>
      </c>
    </row>
    <row r="43" spans="1:6" hidden="1" x14ac:dyDescent="0.25">
      <c r="A43" s="3" t="s">
        <v>5</v>
      </c>
      <c r="B43" s="4">
        <v>46174</v>
      </c>
      <c r="C43" s="3" t="s">
        <v>19</v>
      </c>
      <c r="D43" s="5">
        <v>88000</v>
      </c>
      <c r="E43" s="8">
        <v>30</v>
      </c>
      <c r="F43" s="9">
        <f t="shared" si="0"/>
        <v>2933.3333333333335</v>
      </c>
    </row>
    <row r="44" spans="1:6" hidden="1" x14ac:dyDescent="0.25">
      <c r="A44" s="3" t="s">
        <v>6</v>
      </c>
      <c r="B44" s="4">
        <v>46204</v>
      </c>
      <c r="C44" s="3" t="s">
        <v>19</v>
      </c>
      <c r="D44" s="5">
        <v>84000</v>
      </c>
      <c r="E44" s="8">
        <v>31</v>
      </c>
      <c r="F44" s="9">
        <f t="shared" si="0"/>
        <v>2709.6774193548385</v>
      </c>
    </row>
    <row r="45" spans="1:6" hidden="1" x14ac:dyDescent="0.25">
      <c r="A45" s="3" t="s">
        <v>7</v>
      </c>
      <c r="B45" s="4">
        <v>46235</v>
      </c>
      <c r="C45" s="3" t="s">
        <v>19</v>
      </c>
      <c r="D45" s="5">
        <v>90000</v>
      </c>
      <c r="E45" s="8">
        <v>31</v>
      </c>
      <c r="F45" s="9">
        <f t="shared" si="0"/>
        <v>2903.2258064516127</v>
      </c>
    </row>
    <row r="46" spans="1:6" hidden="1" x14ac:dyDescent="0.25">
      <c r="A46" s="3" t="s">
        <v>8</v>
      </c>
      <c r="B46" s="4">
        <v>46266</v>
      </c>
      <c r="C46" s="3" t="s">
        <v>19</v>
      </c>
      <c r="D46" s="5">
        <v>89000</v>
      </c>
      <c r="E46" s="8">
        <v>30</v>
      </c>
      <c r="F46" s="9">
        <f t="shared" si="0"/>
        <v>2966.6666666666665</v>
      </c>
    </row>
    <row r="47" spans="1:6" x14ac:dyDescent="0.25">
      <c r="A47" s="3" t="s">
        <v>9</v>
      </c>
      <c r="B47" s="4">
        <v>46296</v>
      </c>
      <c r="C47" s="3" t="s">
        <v>19</v>
      </c>
      <c r="D47" s="5">
        <v>90031.1</v>
      </c>
      <c r="E47" s="8">
        <v>31</v>
      </c>
      <c r="F47" s="9">
        <f t="shared" si="0"/>
        <v>2904.2290322580648</v>
      </c>
    </row>
    <row r="48" spans="1:6" hidden="1" x14ac:dyDescent="0.25">
      <c r="A48" s="3" t="s">
        <v>10</v>
      </c>
      <c r="B48" s="4">
        <v>46327</v>
      </c>
      <c r="C48" s="3" t="s">
        <v>19</v>
      </c>
      <c r="D48" s="5">
        <v>130000</v>
      </c>
      <c r="E48" s="8">
        <v>30</v>
      </c>
      <c r="F48" s="9">
        <f t="shared" si="0"/>
        <v>4333.333333333333</v>
      </c>
    </row>
    <row r="49" spans="1:8" hidden="1" x14ac:dyDescent="0.25">
      <c r="A49" s="3" t="s">
        <v>11</v>
      </c>
      <c r="B49" s="4">
        <v>46357</v>
      </c>
      <c r="C49" s="3" t="s">
        <v>19</v>
      </c>
      <c r="D49" s="5">
        <v>98000</v>
      </c>
      <c r="E49" s="8">
        <v>31</v>
      </c>
      <c r="F49" s="9">
        <f t="shared" si="0"/>
        <v>3161.2903225806454</v>
      </c>
    </row>
    <row r="50" spans="1:8" hidden="1" x14ac:dyDescent="0.25">
      <c r="A50" s="3" t="s">
        <v>0</v>
      </c>
      <c r="B50" s="4">
        <v>46023</v>
      </c>
      <c r="C50" s="3" t="s">
        <v>20</v>
      </c>
      <c r="D50" s="5">
        <v>91855</v>
      </c>
      <c r="E50" s="8">
        <v>31</v>
      </c>
      <c r="F50" s="9">
        <f t="shared" si="0"/>
        <v>2963.0645161290322</v>
      </c>
    </row>
    <row r="51" spans="1:8" hidden="1" x14ac:dyDescent="0.25">
      <c r="A51" s="3" t="s">
        <v>1</v>
      </c>
      <c r="B51" s="4">
        <v>46054</v>
      </c>
      <c r="C51" s="3" t="s">
        <v>20</v>
      </c>
      <c r="D51" s="5">
        <v>81855</v>
      </c>
      <c r="E51" s="8">
        <v>28</v>
      </c>
      <c r="F51" s="9">
        <f t="shared" si="0"/>
        <v>2923.3928571428573</v>
      </c>
    </row>
    <row r="52" spans="1:8" hidden="1" x14ac:dyDescent="0.25">
      <c r="A52" s="3" t="s">
        <v>2</v>
      </c>
      <c r="B52" s="4">
        <v>46082</v>
      </c>
      <c r="C52" s="3" t="s">
        <v>20</v>
      </c>
      <c r="D52" s="5">
        <v>99767</v>
      </c>
      <c r="E52" s="8">
        <v>31</v>
      </c>
      <c r="F52" s="9">
        <f t="shared" si="0"/>
        <v>3218.2903225806454</v>
      </c>
    </row>
    <row r="53" spans="1:8" hidden="1" x14ac:dyDescent="0.25">
      <c r="A53" s="3" t="s">
        <v>3</v>
      </c>
      <c r="B53" s="4">
        <v>46113</v>
      </c>
      <c r="C53" s="3" t="s">
        <v>20</v>
      </c>
      <c r="D53" s="5">
        <v>110621</v>
      </c>
      <c r="E53" s="8">
        <v>30</v>
      </c>
      <c r="F53" s="9">
        <f t="shared" si="0"/>
        <v>3687.3666666666668</v>
      </c>
    </row>
    <row r="54" spans="1:8" hidden="1" x14ac:dyDescent="0.25">
      <c r="A54" s="3" t="s">
        <v>4</v>
      </c>
      <c r="B54" s="4">
        <v>46143</v>
      </c>
      <c r="C54" s="3" t="s">
        <v>20</v>
      </c>
      <c r="D54" s="5">
        <v>137225</v>
      </c>
      <c r="E54" s="8">
        <v>31</v>
      </c>
      <c r="F54" s="9">
        <f t="shared" si="0"/>
        <v>4426.6129032258068</v>
      </c>
    </row>
    <row r="55" spans="1:8" hidden="1" x14ac:dyDescent="0.25">
      <c r="A55" s="3" t="s">
        <v>5</v>
      </c>
      <c r="B55" s="4">
        <v>46174</v>
      </c>
      <c r="C55" s="3" t="s">
        <v>20</v>
      </c>
      <c r="D55" s="5">
        <v>122130</v>
      </c>
      <c r="E55" s="8">
        <v>30</v>
      </c>
      <c r="F55" s="9">
        <f t="shared" si="0"/>
        <v>4071</v>
      </c>
    </row>
    <row r="56" spans="1:8" hidden="1" x14ac:dyDescent="0.25">
      <c r="A56" s="3" t="s">
        <v>6</v>
      </c>
      <c r="B56" s="4">
        <v>46204</v>
      </c>
      <c r="C56" s="3" t="s">
        <v>20</v>
      </c>
      <c r="D56" s="5">
        <v>119767</v>
      </c>
      <c r="E56" s="8">
        <v>31</v>
      </c>
      <c r="F56" s="9">
        <f t="shared" si="0"/>
        <v>3863.4516129032259</v>
      </c>
    </row>
    <row r="57" spans="1:8" hidden="1" x14ac:dyDescent="0.25">
      <c r="A57" s="3" t="s">
        <v>7</v>
      </c>
      <c r="B57" s="4">
        <v>46235</v>
      </c>
      <c r="C57" s="3" t="s">
        <v>20</v>
      </c>
      <c r="D57" s="5">
        <v>124749</v>
      </c>
      <c r="E57" s="8">
        <v>31</v>
      </c>
      <c r="F57" s="9">
        <f t="shared" si="0"/>
        <v>4024.1612903225805</v>
      </c>
    </row>
    <row r="58" spans="1:8" hidden="1" x14ac:dyDescent="0.25">
      <c r="A58" s="3" t="s">
        <v>8</v>
      </c>
      <c r="B58" s="4">
        <v>46266</v>
      </c>
      <c r="C58" s="3" t="s">
        <v>20</v>
      </c>
      <c r="D58" s="5">
        <v>127948</v>
      </c>
      <c r="E58" s="8">
        <v>30</v>
      </c>
      <c r="F58" s="9">
        <f t="shared" si="0"/>
        <v>4264.9333333333334</v>
      </c>
    </row>
    <row r="59" spans="1:8" x14ac:dyDescent="0.25">
      <c r="A59" s="3" t="s">
        <v>9</v>
      </c>
      <c r="B59" s="4">
        <v>46296</v>
      </c>
      <c r="C59" s="3" t="s">
        <v>20</v>
      </c>
      <c r="D59" s="5">
        <v>117287.25</v>
      </c>
      <c r="E59" s="8">
        <v>31</v>
      </c>
      <c r="F59" s="9">
        <f t="shared" si="0"/>
        <v>3783.4596774193546</v>
      </c>
    </row>
    <row r="60" spans="1:8" hidden="1" x14ac:dyDescent="0.25">
      <c r="A60" s="3" t="s">
        <v>10</v>
      </c>
      <c r="B60" s="4">
        <v>46327</v>
      </c>
      <c r="C60" s="3" t="s">
        <v>20</v>
      </c>
      <c r="D60" s="5">
        <v>137837.6</v>
      </c>
      <c r="E60" s="8">
        <v>30</v>
      </c>
      <c r="F60" s="9">
        <f t="shared" si="0"/>
        <v>4594.586666666667</v>
      </c>
    </row>
    <row r="61" spans="1:8" hidden="1" x14ac:dyDescent="0.25">
      <c r="A61" s="3" t="s">
        <v>11</v>
      </c>
      <c r="B61" s="4">
        <v>46357</v>
      </c>
      <c r="C61" s="3" t="s">
        <v>20</v>
      </c>
      <c r="D61" s="5">
        <v>107724.8</v>
      </c>
      <c r="E61" s="8">
        <v>31</v>
      </c>
      <c r="F61" s="9">
        <f t="shared" si="0"/>
        <v>3474.9935483870968</v>
      </c>
    </row>
    <row r="62" spans="1:8" hidden="1" x14ac:dyDescent="0.25">
      <c r="D62" s="9">
        <f>D11+D23+D35+D47</f>
        <v>2258767.16</v>
      </c>
    </row>
    <row r="63" spans="1:8" x14ac:dyDescent="0.25">
      <c r="D63" s="9"/>
      <c r="H63" s="12"/>
    </row>
    <row r="64" spans="1:8" x14ac:dyDescent="0.25">
      <c r="D64" s="9"/>
      <c r="H64" s="12"/>
    </row>
    <row r="65" spans="4:9" x14ac:dyDescent="0.25">
      <c r="H65" s="12"/>
    </row>
    <row r="66" spans="4:9" x14ac:dyDescent="0.25">
      <c r="D66" s="13"/>
      <c r="E66" s="13"/>
      <c r="F66" s="13"/>
      <c r="G66" s="13"/>
      <c r="H66" s="13"/>
      <c r="I66" s="14"/>
    </row>
    <row r="67" spans="4:9" x14ac:dyDescent="0.25">
      <c r="H67" s="12"/>
    </row>
    <row r="68" spans="4:9" x14ac:dyDescent="0.25">
      <c r="H68" s="12"/>
    </row>
    <row r="69" spans="4:9" x14ac:dyDescent="0.25">
      <c r="H69" s="12"/>
    </row>
    <row r="70" spans="4:9" x14ac:dyDescent="0.25">
      <c r="H70" s="12"/>
    </row>
    <row r="71" spans="4:9" x14ac:dyDescent="0.25">
      <c r="H71" s="12"/>
    </row>
    <row r="72" spans="4:9" x14ac:dyDescent="0.25">
      <c r="H72" s="12"/>
    </row>
    <row r="73" spans="4:9" x14ac:dyDescent="0.25">
      <c r="H73" s="12"/>
    </row>
    <row r="74" spans="4:9" x14ac:dyDescent="0.25">
      <c r="H74" s="12"/>
    </row>
    <row r="75" spans="4:9" x14ac:dyDescent="0.25">
      <c r="H75" s="12"/>
    </row>
    <row r="76" spans="4:9" x14ac:dyDescent="0.25">
      <c r="H76" s="12"/>
    </row>
    <row r="77" spans="4:9" x14ac:dyDescent="0.25">
      <c r="H77" s="12"/>
    </row>
    <row r="78" spans="4:9" x14ac:dyDescent="0.25">
      <c r="H78" s="12"/>
    </row>
    <row r="79" spans="4:9" x14ac:dyDescent="0.25">
      <c r="H79" s="12"/>
    </row>
    <row r="80" spans="4:9" x14ac:dyDescent="0.25">
      <c r="H80" s="12"/>
    </row>
    <row r="81" spans="8:8" x14ac:dyDescent="0.25">
      <c r="H81" s="12"/>
    </row>
    <row r="82" spans="8:8" x14ac:dyDescent="0.25">
      <c r="H82" s="12"/>
    </row>
    <row r="83" spans="8:8" x14ac:dyDescent="0.25">
      <c r="H83" s="12"/>
    </row>
    <row r="84" spans="8:8" x14ac:dyDescent="0.25">
      <c r="H84" s="12"/>
    </row>
    <row r="85" spans="8:8" x14ac:dyDescent="0.25">
      <c r="H85" s="12"/>
    </row>
    <row r="86" spans="8:8" x14ac:dyDescent="0.25">
      <c r="H86" s="12"/>
    </row>
    <row r="87" spans="8:8" x14ac:dyDescent="0.25">
      <c r="H87" s="12"/>
    </row>
    <row r="88" spans="8:8" x14ac:dyDescent="0.25">
      <c r="H88" s="12"/>
    </row>
    <row r="89" spans="8:8" x14ac:dyDescent="0.25">
      <c r="H89" s="12"/>
    </row>
    <row r="90" spans="8:8" x14ac:dyDescent="0.25">
      <c r="H90" s="12"/>
    </row>
    <row r="91" spans="8:8" x14ac:dyDescent="0.25">
      <c r="H91" s="12"/>
    </row>
    <row r="92" spans="8:8" x14ac:dyDescent="0.25">
      <c r="H92" s="12"/>
    </row>
    <row r="93" spans="8:8" x14ac:dyDescent="0.25">
      <c r="H93" s="12"/>
    </row>
    <row r="94" spans="8:8" x14ac:dyDescent="0.25">
      <c r="H94" s="12"/>
    </row>
    <row r="95" spans="8:8" x14ac:dyDescent="0.25">
      <c r="H95" s="12"/>
    </row>
    <row r="96" spans="8:8" x14ac:dyDescent="0.25">
      <c r="H96" s="12"/>
    </row>
    <row r="97" spans="8:8" x14ac:dyDescent="0.25">
      <c r="H97" s="12"/>
    </row>
    <row r="98" spans="8:8" x14ac:dyDescent="0.25">
      <c r="H98" s="12"/>
    </row>
    <row r="99" spans="8:8" x14ac:dyDescent="0.25">
      <c r="H99" s="12"/>
    </row>
    <row r="100" spans="8:8" x14ac:dyDescent="0.25">
      <c r="H100" s="12"/>
    </row>
    <row r="101" spans="8:8" x14ac:dyDescent="0.25">
      <c r="H101" s="12"/>
    </row>
    <row r="102" spans="8:8" x14ac:dyDescent="0.25">
      <c r="H102" s="12"/>
    </row>
  </sheetData>
  <autoFilter ref="A1:L62" xr:uid="{C9C32D88-5A33-488E-8EDB-18C54C737A0F}">
    <filterColumn colId="1">
      <filters>
        <dateGroupItem year="2026" month="10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088b10-dfe3-4848-b29c-270b315469ff">
      <Terms xmlns="http://schemas.microsoft.com/office/infopath/2007/PartnerControls"/>
    </lcf76f155ced4ddcb4097134ff3c332f>
    <TaxCatchAll xmlns="415d0f87-2af1-4d4c-b68e-7bef438118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C2A6C01FC35B4C98F27BF80BD61D04" ma:contentTypeVersion="11" ma:contentTypeDescription="Crie um novo documento." ma:contentTypeScope="" ma:versionID="2907544e106569120cde375d2fd4e02d">
  <xsd:schema xmlns:xsd="http://www.w3.org/2001/XMLSchema" xmlns:xs="http://www.w3.org/2001/XMLSchema" xmlns:p="http://schemas.microsoft.com/office/2006/metadata/properties" xmlns:ns2="f7088b10-dfe3-4848-b29c-270b315469ff" xmlns:ns3="415d0f87-2af1-4d4c-b68e-7bef43811897" targetNamespace="http://schemas.microsoft.com/office/2006/metadata/properties" ma:root="true" ma:fieldsID="da9cd61046fd5c0494a31fe593fa3def" ns2:_="" ns3:_="">
    <xsd:import namespace="f7088b10-dfe3-4848-b29c-270b315469ff"/>
    <xsd:import namespace="415d0f87-2af1-4d4c-b68e-7bef438118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88b10-dfe3-4848-b29c-270b31546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b4244d-f499-41b9-8fad-4a9492403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d0f87-2af1-4d4c-b68e-7bef438118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aaf60e-8694-456d-a452-90d36ffc2d32}" ma:internalName="TaxCatchAll" ma:showField="CatchAllData" ma:web="415d0f87-2af1-4d4c-b68e-7bef438118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4DF6F9-DD0D-4540-938C-F5C0E6DE90BE}">
  <ds:schemaRefs>
    <ds:schemaRef ds:uri="http://schemas.microsoft.com/office/2006/metadata/properties"/>
    <ds:schemaRef ds:uri="http://schemas.microsoft.com/office/infopath/2007/PartnerControls"/>
    <ds:schemaRef ds:uri="f7088b10-dfe3-4848-b29c-270b315469ff"/>
    <ds:schemaRef ds:uri="415d0f87-2af1-4d4c-b68e-7bef43811897"/>
  </ds:schemaRefs>
</ds:datastoreItem>
</file>

<file path=customXml/itemProps2.xml><?xml version="1.0" encoding="utf-8"?>
<ds:datastoreItem xmlns:ds="http://schemas.openxmlformats.org/officeDocument/2006/customXml" ds:itemID="{5C7787B7-C646-42B7-BB28-711673B8EE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088b10-dfe3-4848-b29c-270b315469ff"/>
    <ds:schemaRef ds:uri="415d0f87-2af1-4d4c-b68e-7bef43811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A16C42-66C3-4139-9DCD-D8FA64C4CD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ECOMMERCE_2026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Resina</dc:creator>
  <cp:lastModifiedBy>antonio mello</cp:lastModifiedBy>
  <dcterms:created xsi:type="dcterms:W3CDTF">2026-01-28T19:16:17Z</dcterms:created>
  <dcterms:modified xsi:type="dcterms:W3CDTF">2026-10-06T20:54:37Z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0x010100FEC2A6C01FC35B4C98F27BF80BD61D04</vt:lpwstr>
  </property>
  <property fmtid="{D5CDD505-2E9C-101B-9397-08002B2CF9AE}" pid="3" name="MediaServiceImageTags">
    <vt:lpwstr/>
  </property>
</Properties>
</file>